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学生档案" sheetId="2" state="visible" r:id="rId2"/>
    <sheet xmlns:r="http://schemas.openxmlformats.org/officeDocument/2006/relationships" name="服务与剩余课时" sheetId="3" state="visible" r:id="rId3"/>
    <sheet xmlns:r="http://schemas.openxmlformats.org/officeDocument/2006/relationships" name="枚举值" sheetId="4" state="visible" r:id="rId4"/>
  </sheets>
  <definedNames>
    <definedName name="_xlnm._FilterDatabase" localSheetId="1" hidden="1">'学生档案'!$A$1:$Q$1</definedName>
    <definedName name="_xlnm._FilterDatabase" localSheetId="2" hidden="1">'服务与剩余课时'!$A$1:$M$1</definedName>
    <definedName name="_xlnm._FilterDatabase" localSheetId="3" hidden="1">'枚举值'!$A$1:$E$1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Microsoft YaHei"/>
      <b val="1"/>
      <color rgb="000F766E"/>
      <sz val="14"/>
    </font>
    <font>
      <name val="Microsoft YaHei"/>
      <color rgb="0057534E"/>
      <sz val="11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自研 CRM 导入模板（学生档案 + 剩余课时）</t>
        </is>
      </c>
    </row>
    <row r="2" ht="48" customHeight="1">
      <c r="A2" s="2" t="inlineStr">
        <is>
          <t>用途：给客户下载填写后回传。可删示例行，勿改表头。学生编号不要填：导入成功后系统按 FX0001 规则重新生成。去重键：手机 &gt; 微信 &gt; 中文名+英文名。档案与服务用「中文名」关联。</t>
        </is>
      </c>
    </row>
    <row r="4">
      <c r="A4" s="3" t="inlineStr">
        <is>
          <t>工作表</t>
        </is>
      </c>
      <c r="B4" s="3" t="inlineStr">
        <is>
          <t>怎么填</t>
        </is>
      </c>
    </row>
    <row r="5" ht="36" customHeight="1">
      <c r="A5" s="4" t="inlineStr">
        <is>
          <t>学生档案</t>
        </is>
      </c>
      <c r="B5" s="2" t="inlineStr">
        <is>
          <t>一人一行。带 * 的列必填。不要填学生编号。剩余课时合计由「服务与剩余课时」按中文名汇总，本表不必手填。</t>
        </is>
      </c>
    </row>
    <row r="6" ht="36" customHeight="1">
      <c r="A6" s="4" t="inlineStr">
        <is>
          <t>服务与剩余课时</t>
        </is>
      </c>
      <c r="B6" s="2" t="inlineStr">
        <is>
          <t>一个学生可多行（多个服务包）。「学生」必须与档案「中文名」完全一致。剩余课时=总课时−已完成课时，用公式，勿手改。订单可空（未挂）。</t>
        </is>
      </c>
    </row>
    <row r="7" ht="36" customHeight="1">
      <c r="A7" s="4" t="inlineStr">
        <is>
          <t>枚举值</t>
        </is>
      </c>
      <c r="B7" s="2" t="inlineStr">
        <is>
          <t>下拉选项的标准写法，改档案/服务表时请与此表一致，否则导入会落到「待清洗」。</t>
        </is>
      </c>
    </row>
    <row r="8" ht="36" customHeight="1">
      <c r="A8" s="4" t="inlineStr">
        <is>
          <t>带 * 表头</t>
        </is>
      </c>
      <c r="B8" s="2" t="inlineStr">
        <is>
          <t>必填。</t>
        </is>
      </c>
    </row>
    <row r="9" ht="36" customHeight="1">
      <c r="A9" s="4" t="inlineStr">
        <is>
          <t>黄色提示</t>
        </is>
      </c>
      <c r="B9" s="2" t="inlineStr">
        <is>
          <t>签证到期 ≤45 天、剩余课时 ≤10 会在 CRM 里提醒，模板里用样例标出。</t>
        </is>
      </c>
    </row>
    <row r="10" ht="36" customHeight="1">
      <c r="A10" s="4" t="inlineStr">
        <is>
          <t>不要填</t>
        </is>
      </c>
      <c r="B10" s="2" t="inlineStr">
        <is>
          <t>学生编号（系统生成）；CLV / 累计消费（按已付款重算）；课时审核里的授课内容/课堂表现/附件（不是本模板）；附件走 OSS。</t>
        </is>
      </c>
    </row>
    <row r="11" ht="36" customHeight="1">
      <c r="A11" s="4" t="inlineStr">
        <is>
          <t>关联规则</t>
        </is>
      </c>
      <c r="B11" s="2" t="inlineStr">
        <is>
          <t>服务表用中文名匹配档案。重名时再靠英文名、手机去重。老师填老师主数据中文名；合作方填合作人名称。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12" customWidth="1" min="5" max="5"/>
    <col width="14" customWidth="1" min="6" max="6"/>
    <col width="16" customWidth="1" min="7" max="7"/>
    <col width="26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8" customWidth="1" min="17" max="17"/>
  </cols>
  <sheetData>
    <row r="1" ht="22" customHeight="1">
      <c r="A1" s="5" t="inlineStr">
        <is>
          <t>中文名*</t>
        </is>
      </c>
      <c r="B1" s="5" t="inlineStr">
        <is>
          <t>英文名*</t>
        </is>
      </c>
      <c r="C1" s="5" t="inlineStr">
        <is>
          <t>年级*</t>
        </is>
      </c>
      <c r="D1" s="5" t="inlineStr">
        <is>
          <t>学校</t>
        </is>
      </c>
      <c r="E1" s="5" t="inlineStr">
        <is>
          <t>家长</t>
        </is>
      </c>
      <c r="F1" s="5" t="inlineStr">
        <is>
          <t>手机*</t>
        </is>
      </c>
      <c r="G1" s="5" t="inlineStr">
        <is>
          <t>微信</t>
        </is>
      </c>
      <c r="H1" s="5" t="inlineStr">
        <is>
          <t>邮箱</t>
        </is>
      </c>
      <c r="I1" s="5" t="inlineStr">
        <is>
          <t>负责人*</t>
        </is>
      </c>
      <c r="J1" s="5" t="inlineStr">
        <is>
          <t>状态*</t>
        </is>
      </c>
      <c r="K1" s="5" t="inlineStr">
        <is>
          <t>来源</t>
        </is>
      </c>
      <c r="L1" s="5" t="inlineStr">
        <is>
          <t>合作方</t>
        </is>
      </c>
      <c r="M1" s="5" t="inlineStr">
        <is>
          <t>首次成交日期</t>
        </is>
      </c>
      <c r="N1" s="5" t="inlineStr">
        <is>
          <t>Offer到期日</t>
        </is>
      </c>
      <c r="O1" s="5" t="inlineStr">
        <is>
          <t>签证到期日</t>
        </is>
      </c>
      <c r="P1" s="5" t="inlineStr">
        <is>
          <t>剩余课时合计</t>
        </is>
      </c>
      <c r="Q1" s="5" t="inlineStr">
        <is>
          <t>备注</t>
        </is>
      </c>
    </row>
    <row r="2" ht="20" customHeight="1">
      <c r="A2" s="6" t="inlineStr">
        <is>
          <t>张小明</t>
        </is>
      </c>
      <c r="B2" s="6" t="inlineStr">
        <is>
          <t>Xiaoming Zhang</t>
        </is>
      </c>
      <c r="C2" s="6" t="inlineStr">
        <is>
          <t>G10</t>
        </is>
      </c>
      <c r="D2" s="6" t="inlineStr">
        <is>
          <t>某公立中学</t>
        </is>
      </c>
      <c r="E2" s="6" t="inlineStr">
        <is>
          <t>张伟</t>
        </is>
      </c>
      <c r="F2" s="6" t="inlineStr">
        <is>
          <t>13800001111</t>
        </is>
      </c>
      <c r="G2" s="6" t="inlineStr">
        <is>
          <t>wx_zhangxiaoming</t>
        </is>
      </c>
      <c r="H2" s="6" t="inlineStr">
        <is>
          <t>parent.zhang@example.com</t>
        </is>
      </c>
      <c r="I2" s="6" t="inlineStr">
        <is>
          <t>李顾问</t>
        </is>
      </c>
      <c r="J2" s="6" t="inlineStr">
        <is>
          <t>Active</t>
        </is>
      </c>
      <c r="K2" s="6" t="inlineStr">
        <is>
          <t>转介绍</t>
        </is>
      </c>
      <c r="L2" s="6" t="n"/>
      <c r="M2" s="7" t="n">
        <v>45942</v>
      </c>
      <c r="N2" s="7" t="n">
        <v>46447</v>
      </c>
      <c r="O2" s="8" t="n">
        <v>46315</v>
      </c>
      <c r="P2" s="6">
        <f>SUMIF('服务与剩余课时'!A:A,A2,'服务与剩余课时'!J:J)</f>
        <v/>
      </c>
      <c r="Q2" s="6" t="inlineStr">
        <is>
          <t>示例：签证临近，系统应提醒。学生编号导入后生成。</t>
        </is>
      </c>
    </row>
    <row r="3" ht="20" customHeight="1">
      <c r="A3" s="6" t="inlineStr">
        <is>
          <t>陈雨</t>
        </is>
      </c>
      <c r="B3" s="6" t="inlineStr">
        <is>
          <t>Yu Chen</t>
        </is>
      </c>
      <c r="C3" s="6" t="inlineStr">
        <is>
          <t>G11</t>
        </is>
      </c>
      <c r="D3" s="6" t="inlineStr">
        <is>
          <t>某私立中学</t>
        </is>
      </c>
      <c r="E3" s="6" t="inlineStr">
        <is>
          <t>陈芳</t>
        </is>
      </c>
      <c r="F3" s="6" t="inlineStr">
        <is>
          <t>13900002222</t>
        </is>
      </c>
      <c r="G3" s="6" t="inlineStr">
        <is>
          <t>wx_chenyu</t>
        </is>
      </c>
      <c r="H3" s="6" t="inlineStr">
        <is>
          <t>parent.chen@example.com</t>
        </is>
      </c>
      <c r="I3" s="6" t="inlineStr">
        <is>
          <t>王顾问</t>
        </is>
      </c>
      <c r="J3" s="6" t="inlineStr">
        <is>
          <t>Active</t>
        </is>
      </c>
      <c r="K3" s="6" t="inlineStr">
        <is>
          <t>小红书</t>
        </is>
      </c>
      <c r="L3" s="6" t="inlineStr">
        <is>
          <t>北极星教育</t>
        </is>
      </c>
      <c r="M3" s="7" t="n">
        <v>45604</v>
      </c>
      <c r="N3" s="6" t="n"/>
      <c r="O3" s="7" t="n">
        <v>46553</v>
      </c>
      <c r="P3" s="6">
        <f>SUMIF('服务与剩余课时'!A:A,A3,'服务与剩余课时'!J:J)</f>
        <v/>
      </c>
      <c r="Q3" s="6" t="inlineStr">
        <is>
          <t>示例：合作方带来的学生</t>
        </is>
      </c>
    </row>
    <row r="4" ht="20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>
        <f>IF(A4="","",SUMIF('服务与剩余课时'!A:A,A4,'服务与剩余课时'!J:J))</f>
        <v/>
      </c>
      <c r="Q4" s="6" t="n"/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>
        <f>IF(A5="","",SUMIF('服务与剩余课时'!A:A,A5,'服务与剩余课时'!J:J))</f>
        <v/>
      </c>
      <c r="Q5" s="6" t="n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>
        <f>IF(A6="","",SUMIF('服务与剩余课时'!A:A,A6,'服务与剩余课时'!J:J))</f>
        <v/>
      </c>
      <c r="Q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>
        <f>IF(A7="","",SUMIF('服务与剩余课时'!A:A,A7,'服务与剩余课时'!J:J))</f>
        <v/>
      </c>
      <c r="Q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>
        <f>IF(A8="","",SUMIF('服务与剩余课时'!A:A,A8,'服务与剩余课时'!J:J))</f>
        <v/>
      </c>
      <c r="Q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>
        <f>IF(A9="","",SUMIF('服务与剩余课时'!A:A,A9,'服务与剩余课时'!J:J))</f>
        <v/>
      </c>
      <c r="Q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>
        <f>IF(A10="","",SUMIF('服务与剩余课时'!A:A,A10,'服务与剩余课时'!J:J))</f>
        <v/>
      </c>
      <c r="Q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>
        <f>IF(A11="","",SUMIF('服务与剩余课时'!A:A,A11,'服务与剩余课时'!J:J))</f>
        <v/>
      </c>
      <c r="Q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>
        <f>IF(A12="","",SUMIF('服务与剩余课时'!A:A,A12,'服务与剩余课时'!J:J))</f>
        <v/>
      </c>
      <c r="Q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>
        <f>IF(A13="","",SUMIF('服务与剩余课时'!A:A,A13,'服务与剩余课时'!J:J))</f>
        <v/>
      </c>
      <c r="Q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>
        <f>IF(A14="","",SUMIF('服务与剩余课时'!A:A,A14,'服务与剩余课时'!J:J))</f>
        <v/>
      </c>
      <c r="Q14" s="6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>
        <f>IF(A15="","",SUMIF('服务与剩余课时'!A:A,A15,'服务与剩余课时'!J:J))</f>
        <v/>
      </c>
      <c r="Q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>
        <f>IF(A16="","",SUMIF('服务与剩余课时'!A:A,A16,'服务与剩余课时'!J:J))</f>
        <v/>
      </c>
      <c r="Q16" s="6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>
        <f>IF(A17="","",SUMIF('服务与剩余课时'!A:A,A17,'服务与剩余课时'!J:J))</f>
        <v/>
      </c>
      <c r="Q17" s="6" t="n"/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>
        <f>IF(A18="","",SUMIF('服务与剩余课时'!A:A,A18,'服务与剩余课时'!J:J))</f>
        <v/>
      </c>
      <c r="Q18" s="6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>
        <f>IF(A19="","",SUMIF('服务与剩余课时'!A:A,A19,'服务与剩余课时'!J:J))</f>
        <v/>
      </c>
      <c r="Q19" s="6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>
        <f>IF(A20="","",SUMIF('服务与剩余课时'!A:A,A20,'服务与剩余课时'!J:J))</f>
        <v/>
      </c>
      <c r="Q20" s="6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>
        <f>IF(A21="","",SUMIF('服务与剩余课时'!A:A,A21,'服务与剩余课时'!J:J))</f>
        <v/>
      </c>
      <c r="Q21" s="6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>
        <f>IF(A22="","",SUMIF('服务与剩余课时'!A:A,A22,'服务与剩余课时'!J:J))</f>
        <v/>
      </c>
      <c r="Q22" s="6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>
        <f>IF(A23="","",SUMIF('服务与剩余课时'!A:A,A23,'服务与剩余课时'!J:J))</f>
        <v/>
      </c>
      <c r="Q23" s="6" t="n"/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>
        <f>IF(A24="","",SUMIF('服务与剩余课时'!A:A,A24,'服务与剩余课时'!J:J))</f>
        <v/>
      </c>
      <c r="Q24" s="6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>
        <f>IF(A25="","",SUMIF('服务与剩余课时'!A:A,A25,'服务与剩余课时'!J:J))</f>
        <v/>
      </c>
      <c r="Q25" s="6" t="n"/>
    </row>
    <row r="26" ht="2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>
        <f>IF(A26="","",SUMIF('服务与剩余课时'!A:A,A26,'服务与剩余课时'!J:J))</f>
        <v/>
      </c>
      <c r="Q26" s="6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>
        <f>IF(A27="","",SUMIF('服务与剩余课时'!A:A,A27,'服务与剩余课时'!J:J))</f>
        <v/>
      </c>
      <c r="Q27" s="6" t="n"/>
    </row>
    <row r="28" ht="2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>
        <f>IF(A28="","",SUMIF('服务与剩余课时'!A:A,A28,'服务与剩余课时'!J:J))</f>
        <v/>
      </c>
      <c r="Q28" s="6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>
        <f>IF(A29="","",SUMIF('服务与剩余课时'!A:A,A29,'服务与剩余课时'!J:J))</f>
        <v/>
      </c>
      <c r="Q29" s="6" t="n"/>
    </row>
    <row r="30" ht="2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>
        <f>IF(A30="","",SUMIF('服务与剩余课时'!A:A,A30,'服务与剩余课时'!J:J))</f>
        <v/>
      </c>
      <c r="Q30" s="6" t="n"/>
    </row>
  </sheetData>
  <autoFilter ref="A1:Q1"/>
  <dataValidations count="3">
    <dataValidation sqref="C2:C500" showDropDown="0" showInputMessage="0" showErrorMessage="1" allowBlank="1" errorTitle="不在枚举内" error="请使用「枚举值」工作表中的标准写法。" type="list">
      <formula1>枚举值!$C$2:$C$8</formula1>
    </dataValidation>
    <dataValidation sqref="J2:J500" showDropDown="0" showInputMessage="0" showErrorMessage="1" allowBlank="1" errorTitle="不在枚举内" error="请使用「枚举值」工作表中的标准写法。" type="list">
      <formula1>枚举值!$A$2:$A$5</formula1>
    </dataValidation>
    <dataValidation sqref="K2:K500" showDropDown="0" showInputMessage="0" showErrorMessage="1" allowBlank="1" errorTitle="不在枚举内" error="请使用「枚举值」工作表中的标准写法。" type="list">
      <formula1>枚举值!$B$2:$B$7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6" customWidth="1" min="11" max="11"/>
    <col width="10" customWidth="1" min="12" max="12"/>
    <col width="28" customWidth="1" min="13" max="13"/>
  </cols>
  <sheetData>
    <row r="1" ht="22" customHeight="1">
      <c r="A1" s="5" t="inlineStr">
        <is>
          <t>学生*</t>
        </is>
      </c>
      <c r="B1" s="5" t="inlineStr">
        <is>
          <t>服务*</t>
        </is>
      </c>
      <c r="C1" s="5" t="inlineStr">
        <is>
          <t>类型*</t>
        </is>
      </c>
      <c r="D1" s="5" t="inlineStr">
        <is>
          <t>老师</t>
        </is>
      </c>
      <c r="E1" s="5" t="inlineStr">
        <is>
          <t>顾问*</t>
        </is>
      </c>
      <c r="F1" s="5" t="inlineStr">
        <is>
          <t>开始日期</t>
        </is>
      </c>
      <c r="G1" s="5" t="inlineStr">
        <is>
          <t>结束日期</t>
        </is>
      </c>
      <c r="H1" s="5" t="inlineStr">
        <is>
          <t>总课时</t>
        </is>
      </c>
      <c r="I1" s="5" t="inlineStr">
        <is>
          <t>已完成课时</t>
        </is>
      </c>
      <c r="J1" s="5" t="inlineStr">
        <is>
          <t>剩余课时</t>
        </is>
      </c>
      <c r="K1" s="5" t="inlineStr">
        <is>
          <t>订单</t>
        </is>
      </c>
      <c r="L1" s="5" t="inlineStr">
        <is>
          <t>状态*</t>
        </is>
      </c>
      <c r="M1" s="5" t="inlineStr">
        <is>
          <t>备注</t>
        </is>
      </c>
    </row>
    <row r="2" ht="20" customHeight="1">
      <c r="A2" s="6" t="inlineStr">
        <is>
          <t>张小明</t>
        </is>
      </c>
      <c r="B2" s="6" t="inlineStr">
        <is>
          <t>数学+英语课后辅导包</t>
        </is>
      </c>
      <c r="C2" s="6" t="inlineStr">
        <is>
          <t>After-school</t>
        </is>
      </c>
      <c r="D2" s="6" t="inlineStr">
        <is>
          <t>刘老师</t>
        </is>
      </c>
      <c r="E2" s="6" t="inlineStr">
        <is>
          <t>李顾问</t>
        </is>
      </c>
      <c r="F2" s="7" t="n">
        <v>45945</v>
      </c>
      <c r="G2" s="7" t="n">
        <v>46203</v>
      </c>
      <c r="H2" s="6" t="n">
        <v>40</v>
      </c>
      <c r="I2" s="6" t="n">
        <v>28</v>
      </c>
      <c r="J2" s="6">
        <f>H2-I2</f>
        <v/>
      </c>
      <c r="K2" s="6" t="n"/>
      <c r="L2" s="6" t="inlineStr">
        <is>
          <t>进行中</t>
        </is>
      </c>
      <c r="M2" s="6" t="inlineStr">
        <is>
          <t>剩余&gt;10，暂不提醒</t>
        </is>
      </c>
    </row>
    <row r="3" ht="20" customHeight="1">
      <c r="A3" s="6" t="inlineStr">
        <is>
          <t>张小明</t>
        </is>
      </c>
      <c r="B3" s="6" t="inlineStr">
        <is>
          <t>选课规划（按次）</t>
        </is>
      </c>
      <c r="C3" s="6" t="inlineStr">
        <is>
          <t>大学申请</t>
        </is>
      </c>
      <c r="D3" s="6" t="n"/>
      <c r="E3" s="6" t="inlineStr">
        <is>
          <t>李顾问</t>
        </is>
      </c>
      <c r="F3" s="7" t="n">
        <v>46235</v>
      </c>
      <c r="G3" s="7" t="n">
        <v>46387</v>
      </c>
      <c r="H3" s="6" t="n">
        <v>8</v>
      </c>
      <c r="I3" s="6" t="n">
        <v>6</v>
      </c>
      <c r="J3" s="9">
        <f>H3-I3</f>
        <v/>
      </c>
      <c r="K3" s="6" t="n"/>
      <c r="L3" s="6" t="inlineStr">
        <is>
          <t>进行中</t>
        </is>
      </c>
      <c r="M3" s="6" t="inlineStr">
        <is>
          <t>剩余≤10，系统应提醒</t>
        </is>
      </c>
    </row>
    <row r="4" ht="20" customHeight="1">
      <c r="A4" s="6" t="inlineStr">
        <is>
          <t>陈雨</t>
        </is>
      </c>
      <c r="B4" s="6" t="inlineStr">
        <is>
          <t>Grade 11 学分课服务包</t>
        </is>
      </c>
      <c r="C4" s="6" t="inlineStr">
        <is>
          <t>学分课</t>
        </is>
      </c>
      <c r="D4" s="6" t="inlineStr">
        <is>
          <t>周老师</t>
        </is>
      </c>
      <c r="E4" s="6" t="inlineStr">
        <is>
          <t>王顾问</t>
        </is>
      </c>
      <c r="F4" s="7" t="n">
        <v>45606</v>
      </c>
      <c r="G4" s="7" t="n">
        <v>46203</v>
      </c>
      <c r="H4" s="6" t="n">
        <v>60</v>
      </c>
      <c r="I4" s="6" t="n">
        <v>54</v>
      </c>
      <c r="J4" s="9">
        <f>H4-I4</f>
        <v/>
      </c>
      <c r="K4" s="6" t="n"/>
      <c r="L4" s="6" t="inlineStr">
        <is>
          <t>进行中</t>
        </is>
      </c>
      <c r="M4" s="6" t="inlineStr">
        <is>
          <t>剩余≤10，系统应提醒</t>
        </is>
      </c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>
        <f>IF(H5="","",H5-I5)</f>
        <v/>
      </c>
      <c r="K5" s="6" t="n"/>
      <c r="L5" s="6" t="n"/>
      <c r="M5" s="6" t="n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>
        <f>IF(H6="","",H6-I6)</f>
        <v/>
      </c>
      <c r="K6" s="6" t="n"/>
      <c r="L6" s="6" t="n"/>
      <c r="M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>
        <f>IF(H7="","",H7-I7)</f>
        <v/>
      </c>
      <c r="K7" s="6" t="n"/>
      <c r="L7" s="6" t="n"/>
      <c r="M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>
        <f>IF(H8="","",H8-I8)</f>
        <v/>
      </c>
      <c r="K8" s="6" t="n"/>
      <c r="L8" s="6" t="n"/>
      <c r="M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>
        <f>IF(H9="","",H9-I9)</f>
        <v/>
      </c>
      <c r="K9" s="6" t="n"/>
      <c r="L9" s="6" t="n"/>
      <c r="M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>
        <f>IF(H10="","",H10-I10)</f>
        <v/>
      </c>
      <c r="K10" s="6" t="n"/>
      <c r="L10" s="6" t="n"/>
      <c r="M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>
        <f>IF(H11="","",H11-I11)</f>
        <v/>
      </c>
      <c r="K11" s="6" t="n"/>
      <c r="L11" s="6" t="n"/>
      <c r="M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>
        <f>IF(H12="","",H12-I12)</f>
        <v/>
      </c>
      <c r="K12" s="6" t="n"/>
      <c r="L12" s="6" t="n"/>
      <c r="M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>
        <f>IF(H13="","",H13-I13)</f>
        <v/>
      </c>
      <c r="K13" s="6" t="n"/>
      <c r="L13" s="6" t="n"/>
      <c r="M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>
        <f>IF(H14="","",H14-I14)</f>
        <v/>
      </c>
      <c r="K14" s="6" t="n"/>
      <c r="L14" s="6" t="n"/>
      <c r="M14" s="6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>
        <f>IF(H15="","",H15-I15)</f>
        <v/>
      </c>
      <c r="K15" s="6" t="n"/>
      <c r="L15" s="6" t="n"/>
      <c r="M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>
        <f>IF(H16="","",H16-I16)</f>
        <v/>
      </c>
      <c r="K16" s="6" t="n"/>
      <c r="L16" s="6" t="n"/>
      <c r="M16" s="6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>
        <f>IF(H17="","",H17-I17)</f>
        <v/>
      </c>
      <c r="K17" s="6" t="n"/>
      <c r="L17" s="6" t="n"/>
      <c r="M17" s="6" t="n"/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>
        <f>IF(H18="","",H18-I18)</f>
        <v/>
      </c>
      <c r="K18" s="6" t="n"/>
      <c r="L18" s="6" t="n"/>
      <c r="M18" s="6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>
        <f>IF(H19="","",H19-I19)</f>
        <v/>
      </c>
      <c r="K19" s="6" t="n"/>
      <c r="L19" s="6" t="n"/>
      <c r="M19" s="6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>
        <f>IF(H20="","",H20-I20)</f>
        <v/>
      </c>
      <c r="K20" s="6" t="n"/>
      <c r="L20" s="6" t="n"/>
      <c r="M20" s="6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>
        <f>IF(H21="","",H21-I21)</f>
        <v/>
      </c>
      <c r="K21" s="6" t="n"/>
      <c r="L21" s="6" t="n"/>
      <c r="M21" s="6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>
        <f>IF(H22="","",H22-I22)</f>
        <v/>
      </c>
      <c r="K22" s="6" t="n"/>
      <c r="L22" s="6" t="n"/>
      <c r="M22" s="6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>
        <f>IF(H23="","",H23-I23)</f>
        <v/>
      </c>
      <c r="K23" s="6" t="n"/>
      <c r="L23" s="6" t="n"/>
      <c r="M23" s="6" t="n"/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>
        <f>IF(H24="","",H24-I24)</f>
        <v/>
      </c>
      <c r="K24" s="6" t="n"/>
      <c r="L24" s="6" t="n"/>
      <c r="M24" s="6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>
        <f>IF(H25="","",H25-I25)</f>
        <v/>
      </c>
      <c r="K25" s="6" t="n"/>
      <c r="L25" s="6" t="n"/>
      <c r="M25" s="6" t="n"/>
    </row>
    <row r="26" ht="2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>
        <f>IF(H26="","",H26-I26)</f>
        <v/>
      </c>
      <c r="K26" s="6" t="n"/>
      <c r="L26" s="6" t="n"/>
      <c r="M26" s="6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>
        <f>IF(H27="","",H27-I27)</f>
        <v/>
      </c>
      <c r="K27" s="6" t="n"/>
      <c r="L27" s="6" t="n"/>
      <c r="M27" s="6" t="n"/>
    </row>
    <row r="28" ht="2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>
        <f>IF(H28="","",H28-I28)</f>
        <v/>
      </c>
      <c r="K28" s="6" t="n"/>
      <c r="L28" s="6" t="n"/>
      <c r="M28" s="6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>
        <f>IF(H29="","",H29-I29)</f>
        <v/>
      </c>
      <c r="K29" s="6" t="n"/>
      <c r="L29" s="6" t="n"/>
      <c r="M29" s="6" t="n"/>
    </row>
    <row r="30" ht="2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>
        <f>IF(H30="","",H30-I30)</f>
        <v/>
      </c>
      <c r="K30" s="6" t="n"/>
      <c r="L30" s="6" t="n"/>
      <c r="M30" s="6" t="n"/>
    </row>
    <row r="31" ht="2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>
        <f>IF(H31="","",H31-I31)</f>
        <v/>
      </c>
      <c r="K31" s="6" t="n"/>
      <c r="L31" s="6" t="n"/>
      <c r="M31" s="6" t="n"/>
    </row>
    <row r="32" ht="2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>
        <f>IF(H32="","",H32-I32)</f>
        <v/>
      </c>
      <c r="K32" s="6" t="n"/>
      <c r="L32" s="6" t="n"/>
      <c r="M32" s="6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>
        <f>IF(H33="","",H33-I33)</f>
        <v/>
      </c>
      <c r="K33" s="6" t="n"/>
      <c r="L33" s="6" t="n"/>
      <c r="M33" s="6" t="n"/>
    </row>
    <row r="34" ht="2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>
        <f>IF(H34="","",H34-I34)</f>
        <v/>
      </c>
      <c r="K34" s="6" t="n"/>
      <c r="L34" s="6" t="n"/>
      <c r="M34" s="6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>
        <f>IF(H35="","",H35-I35)</f>
        <v/>
      </c>
      <c r="K35" s="6" t="n"/>
      <c r="L35" s="6" t="n"/>
      <c r="M35" s="6" t="n"/>
    </row>
    <row r="36" ht="20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>
        <f>IF(H36="","",H36-I36)</f>
        <v/>
      </c>
      <c r="K36" s="6" t="n"/>
      <c r="L36" s="6" t="n"/>
      <c r="M36" s="6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>
        <f>IF(H37="","",H37-I37)</f>
        <v/>
      </c>
      <c r="K37" s="6" t="n"/>
      <c r="L37" s="6" t="n"/>
      <c r="M37" s="6" t="n"/>
    </row>
    <row r="38" ht="20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>
        <f>IF(H38="","",H38-I38)</f>
        <v/>
      </c>
      <c r="K38" s="6" t="n"/>
      <c r="L38" s="6" t="n"/>
      <c r="M38" s="6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>
        <f>IF(H39="","",H39-I39)</f>
        <v/>
      </c>
      <c r="K39" s="6" t="n"/>
      <c r="L39" s="6" t="n"/>
      <c r="M39" s="6" t="n"/>
    </row>
    <row r="40" ht="20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>
        <f>IF(H40="","",H40-I40)</f>
        <v/>
      </c>
      <c r="K40" s="6" t="n"/>
      <c r="L40" s="6" t="n"/>
      <c r="M40" s="6" t="n"/>
    </row>
  </sheetData>
  <autoFilter ref="A1:M1"/>
  <dataValidations count="2">
    <dataValidation sqref="C2:C500" showDropDown="0" showInputMessage="0" showErrorMessage="1" allowBlank="1" errorTitle="不在枚举内" error="请使用「枚举值」工作表中的标准写法。" type="list">
      <formula1>枚举值!$D$2:$D$11</formula1>
    </dataValidation>
    <dataValidation sqref="L2:L500" showDropDown="0" showInputMessage="0" showErrorMessage="1" allowBlank="1" errorTitle="不在枚举内" error="请使用「枚举值」工作表中的标准写法。" type="list">
      <formula1>枚举值!$E$2:$E$4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5" t="inlineStr">
        <is>
          <t>状态（学生）</t>
        </is>
      </c>
      <c r="B1" s="5" t="inlineStr">
        <is>
          <t>来源</t>
        </is>
      </c>
      <c r="C1" s="5" t="inlineStr">
        <is>
          <t>年级</t>
        </is>
      </c>
      <c r="D1" s="5" t="inlineStr">
        <is>
          <t>类型</t>
        </is>
      </c>
      <c r="E1" s="5" t="inlineStr">
        <is>
          <t>状态（服务）</t>
        </is>
      </c>
    </row>
    <row r="2" ht="20" customHeight="1">
      <c r="A2" s="6" t="inlineStr">
        <is>
          <t>Active</t>
        </is>
      </c>
      <c r="B2" s="6" t="inlineStr">
        <is>
          <t>转介绍</t>
        </is>
      </c>
      <c r="C2" s="6" t="inlineStr">
        <is>
          <t>G8</t>
        </is>
      </c>
      <c r="D2" s="6" t="inlineStr">
        <is>
          <t>监护</t>
        </is>
      </c>
      <c r="E2" s="6" t="inlineStr">
        <is>
          <t>进行中</t>
        </is>
      </c>
    </row>
    <row r="3" ht="20" customHeight="1">
      <c r="A3" s="6" t="inlineStr">
        <is>
          <t>暂停</t>
        </is>
      </c>
      <c r="B3" s="6" t="inlineStr">
        <is>
          <t>小红书</t>
        </is>
      </c>
      <c r="C3" s="6" t="inlineStr">
        <is>
          <t>G9</t>
        </is>
      </c>
      <c r="D3" s="6" t="inlineStr">
        <is>
          <t>转学</t>
        </is>
      </c>
      <c r="E3" s="6" t="inlineStr">
        <is>
          <t>已完成</t>
        </is>
      </c>
    </row>
    <row r="4" ht="20" customHeight="1">
      <c r="A4" s="6" t="inlineStr">
        <is>
          <t>Alumni</t>
        </is>
      </c>
      <c r="B4" s="6" t="inlineStr">
        <is>
          <t>合作方</t>
        </is>
      </c>
      <c r="C4" s="6" t="inlineStr">
        <is>
          <t>G10</t>
        </is>
      </c>
      <c r="D4" s="6" t="inlineStr">
        <is>
          <t>After-school</t>
        </is>
      </c>
      <c r="E4" s="6" t="inlineStr">
        <is>
          <t>暂停</t>
        </is>
      </c>
    </row>
    <row r="5" ht="20" customHeight="1">
      <c r="A5" s="6" t="inlineStr">
        <is>
          <t>Lost</t>
        </is>
      </c>
      <c r="B5" s="6" t="inlineStr">
        <is>
          <t>自然到访</t>
        </is>
      </c>
      <c r="C5" s="6" t="inlineStr">
        <is>
          <t>G11</t>
        </is>
      </c>
      <c r="D5" s="6" t="inlineStr">
        <is>
          <t>学分课</t>
        </is>
      </c>
      <c r="E5" s="6" t="n"/>
    </row>
    <row r="6" ht="20" customHeight="1">
      <c r="A6" s="6" t="n"/>
      <c r="B6" s="6" t="inlineStr">
        <is>
          <t>老生二销</t>
        </is>
      </c>
      <c r="C6" s="6" t="inlineStr">
        <is>
          <t>G12</t>
        </is>
      </c>
      <c r="D6" s="6" t="inlineStr">
        <is>
          <t>大学申请</t>
        </is>
      </c>
      <c r="E6" s="6" t="n"/>
    </row>
    <row r="7" ht="20" customHeight="1">
      <c r="A7" s="6" t="n"/>
      <c r="B7" s="6" t="inlineStr">
        <is>
          <t>其他</t>
        </is>
      </c>
      <c r="C7" s="6" t="inlineStr">
        <is>
          <t>大学</t>
        </is>
      </c>
      <c r="D7" s="6" t="inlineStr">
        <is>
          <t>活动</t>
        </is>
      </c>
      <c r="E7" s="6" t="n"/>
    </row>
    <row r="8" ht="20" customHeight="1">
      <c r="A8" s="6" t="n"/>
      <c r="B8" s="6" t="n"/>
      <c r="C8" s="6" t="inlineStr">
        <is>
          <t>其他</t>
        </is>
      </c>
      <c r="D8" s="6" t="inlineStr">
        <is>
          <t>夏令营</t>
        </is>
      </c>
      <c r="E8" s="6" t="n"/>
    </row>
    <row r="9" ht="20" customHeight="1">
      <c r="A9" s="6" t="n"/>
      <c r="B9" s="6" t="n"/>
      <c r="C9" s="6" t="n"/>
      <c r="D9" s="6" t="inlineStr">
        <is>
          <t>私校申请</t>
        </is>
      </c>
      <c r="E9" s="6" t="n"/>
    </row>
    <row r="10" ht="20" customHeight="1">
      <c r="A10" s="6" t="n"/>
      <c r="B10" s="6" t="n"/>
      <c r="C10" s="6" t="n"/>
      <c r="D10" s="6" t="inlineStr">
        <is>
          <t>签证</t>
        </is>
      </c>
      <c r="E10" s="6" t="n"/>
    </row>
    <row r="11" ht="20" customHeight="1">
      <c r="A11" s="6" t="n"/>
      <c r="B11" s="6" t="n"/>
      <c r="C11" s="6" t="n"/>
      <c r="D11" s="6" t="inlineStr">
        <is>
          <t>其他</t>
        </is>
      </c>
      <c r="E11" s="6" t="n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2026-09-21T16:11:04Z</dcterms:created>
  <dcterms:modified xmlns:dcterms="http://purl.org/dc/terms/" xmlns:xsi="http://www.w3.org/2001/XMLSchema-instance" xsi:type="dcterms:W3CDTF">2026-09-21T16:11:04Z</dcterms:modified>
</cp:coreProperties>
</file>